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Assignment" sheetId="2" r:id="rId6"/>
  </sheets>
  <definedNames>
    <definedName hidden="1" localSheetId="0" name="_xlnm._FilterDatabase">SalesData!$H$1:$H$33</definedName>
  </definedNames>
  <calcPr/>
</workbook>
</file>

<file path=xl/sharedStrings.xml><?xml version="1.0" encoding="utf-8"?>
<sst xmlns="http://schemas.openxmlformats.org/spreadsheetml/2006/main" count="327" uniqueCount="100">
  <si>
    <t>Google Sheets Assignment</t>
  </si>
  <si>
    <t>Action/ Answers</t>
  </si>
  <si>
    <t>1. Freeze the top row.</t>
  </si>
  <si>
    <t>OrderID</t>
  </si>
  <si>
    <t>Row 1 Freezed</t>
  </si>
  <si>
    <t>2. Apply filter and sort Revenue descending.</t>
  </si>
  <si>
    <t>Revunue column is in descending order</t>
  </si>
  <si>
    <t>3. Calculate Total Revenue using SUM.</t>
  </si>
  <si>
    <t>Salesperson</t>
  </si>
  <si>
    <t>Region</t>
  </si>
  <si>
    <t>Product</t>
  </si>
  <si>
    <t>Category</t>
  </si>
  <si>
    <t>Units</t>
  </si>
  <si>
    <t>UnitPrice</t>
  </si>
  <si>
    <t>Revenue</t>
  </si>
  <si>
    <t>% of Total Revenue Contribution</t>
  </si>
  <si>
    <t>Revenue Tier</t>
  </si>
  <si>
    <t>O1001</t>
  </si>
  <si>
    <t>Asha</t>
  </si>
  <si>
    <t>North</t>
  </si>
  <si>
    <t>Laptop</t>
  </si>
  <si>
    <t>4. Calculate Average Revenue using AVERAGE.</t>
  </si>
  <si>
    <t>Electronics</t>
  </si>
  <si>
    <t>5. Count total records using COUNTA.</t>
  </si>
  <si>
    <t>6. Count numeric Revenue cells using COUNT.</t>
  </si>
  <si>
    <t>7. COUNTIF: Orders from North region.</t>
  </si>
  <si>
    <t>8. SUMIF: Total Revenue for Electronics category.</t>
  </si>
  <si>
    <t>9. AVERAGEIF: Average Units sold by Asha.</t>
  </si>
  <si>
    <t>10. Highlight Revenue &gt;1000 using Conditional Formatting.</t>
  </si>
  <si>
    <t>Highlighted in green color</t>
  </si>
  <si>
    <t>11. Apply Color Scale to Revenue column.</t>
  </si>
  <si>
    <t>Color Scale Applied</t>
  </si>
  <si>
    <t>12. Identify duplicate OrderID values using Conditional Formatting.</t>
  </si>
  <si>
    <t>01024</t>
  </si>
  <si>
    <t>13. Create a lookup table (unique Product &amp; Category) and use VLOOKUP to return Category.</t>
  </si>
  <si>
    <t>To return the Category for a product using VLOOKUP, I first created a lookup table in A35:B42 containing two columns: Product (Column A) and Category (Column B). Each product appears only once with its corresponding category. 
To retrieve the category, I used the following formula: =VLOOKUP(D2,$A$35:$B$42,2,FALSE)
Formula Explanation
D2 – The cell containing the product name to look up (e.g., Laptop).
$A$35:$B$42 – The lookup table containing the unique Product and Category values. The dollar signs ($) make the range absolute so it does not change when the formula is copied.
2 – Returns the value from the second column of the lookup table, which is the Category.
FALSE – Performs an exact match, ensuring that only an exact product name returns a category.
Example
If D2 contains Laptop, the formula searches for Laptop in A35:A42 and returns Electronics from B35:B42.</t>
  </si>
  <si>
    <t>14. Repeat using XLOOKUP.</t>
  </si>
  <si>
    <t>O1002</t>
  </si>
  <si>
    <t>Ravi</t>
  </si>
  <si>
    <t>South</t>
  </si>
  <si>
    <t>Mouse</t>
  </si>
  <si>
    <t>Accessories</t>
  </si>
  <si>
    <r>
      <rPr>
        <rFont val="Calibri"/>
        <color theme="1"/>
      </rPr>
      <t xml:space="preserve">To return the Category using XLOOKUP, I used the same lookup table located in A35:B42. The formula is: =XLOOKUP(D2,$A$35:$A$42,$B$35:$B$42).
</t>
    </r>
    <r>
      <rPr>
        <rFont val="Calibri"/>
        <b/>
        <color theme="1"/>
      </rPr>
      <t>Formula Explanation</t>
    </r>
    <r>
      <rPr>
        <rFont val="Calibri"/>
        <color theme="1"/>
      </rPr>
      <t xml:space="preserve">
D2 – The cell containing the product name to search for (e.g., Laptop).
$A$35:$A$42 – The lookup array containing the list of unique Products.
$B$35:$B$42 – The return array containing the corresponding Categories.
XLOOKUP searches for the product in A35:A42 and returns the matching category from B35:B42.
Example
If D2 contains Laptop, the formula searches for Laptop in A35:A42 and returns Electronics from B35:B42.</t>
    </r>
  </si>
  <si>
    <t>15. Use QUERY to create a pivot: Sum of Revenue by Region.</t>
  </si>
  <si>
    <t>To create a pivot table showing the total Revenue by Region using the QUERY function the formula is 
=QUERY(A1:H26,"SELECT C, SUM(H) GROUP BY C LABEL C 'Region', SUM(H) 'Total Revenue'",1)</t>
  </si>
  <si>
    <t>16. Use SORT formula to display data by Units descending.</t>
  </si>
  <si>
    <t>O1003</t>
  </si>
  <si>
    <t>Neha</t>
  </si>
  <si>
    <t>To display the data sorted by Units in descending order using the SORT function, I selected an empty cell where I wanted the sorted data to appear and entered the following formula:
=SORT(A2:H26,6,FALSE)</t>
  </si>
  <si>
    <t>West</t>
  </si>
  <si>
    <t>Keyboard</t>
  </si>
  <si>
    <t>17. Find highest and lowest Revenue (MAX/MIN).</t>
  </si>
  <si>
    <t>Maximum is 3000 and minimum is 200</t>
  </si>
  <si>
    <t>18. Calculate percentage contribution of each row Revenue to total.</t>
  </si>
  <si>
    <t>O1004</t>
  </si>
  <si>
    <t>I have added % Contribution column and calculated for each row using the formula =H2/SUM($H$2:$H$26)</t>
  </si>
  <si>
    <t>Amit</t>
  </si>
  <si>
    <t>East</t>
  </si>
  <si>
    <t>Monitor</t>
  </si>
  <si>
    <t>19. Use IF to label Revenue &gt;=1000 as High else Low.</t>
  </si>
  <si>
    <t>To label each Revenue value as "High" or "Low" using the IF function use the formula =IF(H2&gt;=1000,"High","Low")</t>
  </si>
  <si>
    <t>20. Protect formula cells .</t>
  </si>
  <si>
    <t>Formula cells protected</t>
  </si>
  <si>
    <t>O1005</t>
  </si>
  <si>
    <t>Printer</t>
  </si>
  <si>
    <t>Office</t>
  </si>
  <si>
    <t>O1006</t>
  </si>
  <si>
    <t>O1007</t>
  </si>
  <si>
    <t>Chair</t>
  </si>
  <si>
    <t>Furniture</t>
  </si>
  <si>
    <t>O1008</t>
  </si>
  <si>
    <t>Desk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</si>
  <si>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</si>
  <si>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</si>
  <si>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</si>
  <si>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</si>
  <si>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</si>
  <si>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</si>
  <si>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</si>
  <si>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</si>
  <si>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</si>
  <si>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</si>
  <si>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</si>
  <si>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</si>
  <si>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</si>
  <si>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</si>
  <si>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</si>
  <si>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</si>
  <si>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Sum</t>
  </si>
  <si>
    <t>Averange</t>
  </si>
  <si>
    <t>COUNT.</t>
  </si>
  <si>
    <t xml:space="preserve">Total Revenue for the Electronics category using the SUMIF </t>
  </si>
  <si>
    <t>Average Units sold by Asha.</t>
  </si>
  <si>
    <t>MAX Revenue</t>
  </si>
  <si>
    <t>MIN Revenue</t>
  </si>
  <si>
    <t>Lookup Table</t>
  </si>
  <si>
    <t>Sorted Data</t>
  </si>
  <si>
    <t>Sum of Revenue by Region</t>
  </si>
  <si>
    <t>Total Revenue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</si>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</sst>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Fill="1" applyFon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3" numFmtId="0" xfId="0" applyFont="1"/>
    <xf borderId="0" fillId="0" fontId="2" numFmtId="164" xfId="0" applyFont="1" applyNumberFormat="1"/>
    <xf borderId="0" fillId="0" fontId="2" numFmtId="164" xfId="0" applyFont="1" applyNumberFormat="1"/>
    <xf borderId="0" fillId="4" fontId="2" numFmtId="10" xfId="0" applyFont="1" applyNumberFormat="1"/>
    <xf quotePrefix="1" borderId="0" fillId="0" fontId="2" numFmtId="0" xfId="0" applyAlignment="1" applyFont="1">
      <alignment readingOrder="0"/>
    </xf>
    <xf borderId="0" fillId="6" fontId="2" numFmtId="0" xfId="0" applyFill="1" applyFont="1"/>
    <xf borderId="0" fillId="7" fontId="2" numFmtId="0" xfId="0" applyFill="1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9" fontId="3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79646"/>
          <bgColor rgb="FFF7964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438150</xdr:colOff>
      <xdr:row>1</xdr:row>
      <xdr:rowOff>133350</xdr:rowOff>
    </xdr:from>
    <xdr:ext cx="4733925" cy="4143375"/>
    <xdr:grpSp>
      <xdr:nvGrpSpPr>
        <xdr:cNvPr id="2" name="Shape 2" title="Drawing"/>
        <xdr:cNvGrpSpPr/>
      </xdr:nvGrpSpPr>
      <xdr:grpSpPr>
        <a:xfrm>
          <a:off x="0" y="228675"/>
          <a:ext cx="4722600" cy="4080000"/>
          <a:chOff x="0" y="228675"/>
          <a:chExt cx="4722600" cy="4080000"/>
        </a:xfrm>
      </xdr:grpSpPr>
      <xdr:sp>
        <xdr:nvSpPr>
          <xdr:cNvPr id="3" name="Shape 3"/>
          <xdr:cNvSpPr txBox="1"/>
        </xdr:nvSpPr>
        <xdr:spPr>
          <a:xfrm>
            <a:off x="0" y="228675"/>
            <a:ext cx="1997700" cy="2262600"/>
          </a:xfrm>
          <a:prstGeom prst="rect">
            <a:avLst/>
          </a:prstGeom>
          <a:solidFill>
            <a:srgbClr val="FCE5CD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/>
              <a:t>SalesData</a:t>
            </a:r>
            <a:endParaRPr b="1" sz="1100"/>
          </a:p>
          <a:p>
            <a:pPr indent="-298450" lvl="0" marL="4572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25 sample records</a:t>
            </a:r>
            <a:endParaRPr sz="1100"/>
          </a:p>
          <a:p>
            <a:pPr indent="-298450" lvl="0" marL="4572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8 columns: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OrderID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Salesperson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Region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Product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Category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Units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UnitPrice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Revenue</a:t>
            </a:r>
            <a:endParaRPr sz="11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35400" y="351375"/>
            <a:ext cx="2587200" cy="3957300"/>
          </a:xfrm>
          <a:prstGeom prst="rect">
            <a:avLst/>
          </a:prstGeom>
          <a:solidFill>
            <a:srgbClr val="D9EAD3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900"/>
              <a:t>20 practical tasks covering: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COUNTA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VLOOKUP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XLOOKUP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(rules)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(color scale)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Duplicate check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QUERY (Pivot)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SORT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Freeze rows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MAX/MIN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Percentage calculations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Filtering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Formula protection </a:t>
            </a:r>
            <a:endParaRPr sz="900"/>
          </a:p>
          <a:p>
            <a:pPr indent="0" lvl="0" marL="0" rtl="0" algn="l"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sz="900"/>
          </a:p>
        </xdr:txBody>
      </xdr:sp>
      <xdr:sp>
        <xdr:nvSpPr>
          <xdr:cNvPr id="5" name="Shape 5"/>
          <xdr:cNvSpPr txBox="1"/>
        </xdr:nvSpPr>
        <xdr:spPr>
          <a:xfrm>
            <a:off x="0" y="2571750"/>
            <a:ext cx="1929600" cy="1539300"/>
          </a:xfrm>
          <a:prstGeom prst="rect">
            <a:avLst/>
          </a:prstGeom>
          <a:solidFill>
            <a:srgbClr val="F4CCCC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Make a duplicate of this GS. 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Rename it: PIIT2 - GS Assignment - xxxxx 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(xxx- first name)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Give commentator rights to everyone. Share it with PIIT Team/ Mandal</a:t>
            </a:r>
            <a:endParaRPr sz="11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4" width="8.71"/>
    <col customWidth="1" min="5" max="5" width="21.71"/>
    <col customWidth="1" min="6" max="6" width="9.71"/>
    <col customWidth="1" min="7" max="7" width="11.86"/>
    <col customWidth="1" min="8" max="8" width="13.0"/>
    <col customWidth="1" min="9" max="9" width="18.14"/>
    <col customWidth="1" min="10" max="10" width="15.0"/>
    <col customWidth="1" min="11" max="25" width="8.71"/>
  </cols>
  <sheetData>
    <row r="1">
      <c r="A1" s="5" t="s">
        <v>3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6" t="s">
        <v>15</v>
      </c>
      <c r="J1" s="7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22</v>
      </c>
      <c r="F2" s="3">
        <v>5.0</v>
      </c>
      <c r="G2" s="9">
        <v>500.0</v>
      </c>
      <c r="H2" s="10">
        <v>3000.0</v>
      </c>
      <c r="I2" s="11">
        <f t="shared" ref="I2:I26" si="1">H2/SUM($H$2:$H$26)</f>
        <v>0.1290877797</v>
      </c>
      <c r="J2" s="13" t="str">
        <f t="shared" ref="J2:J26" si="2">IF(H2&gt;=1000,"High","Low")</f>
        <v>High</v>
      </c>
    </row>
    <row r="3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>
        <v>20.0</v>
      </c>
      <c r="G3" s="9">
        <v>20.0</v>
      </c>
      <c r="H3" s="10">
        <v>2500.0</v>
      </c>
      <c r="I3" s="11">
        <f t="shared" si="1"/>
        <v>0.1075731497</v>
      </c>
      <c r="J3" s="13" t="str">
        <f t="shared" si="2"/>
        <v>High</v>
      </c>
    </row>
    <row r="4">
      <c r="A4" s="3" t="s">
        <v>46</v>
      </c>
      <c r="B4" s="3" t="s">
        <v>47</v>
      </c>
      <c r="C4" s="3" t="s">
        <v>49</v>
      </c>
      <c r="D4" s="3" t="s">
        <v>50</v>
      </c>
      <c r="E4" s="3" t="s">
        <v>41</v>
      </c>
      <c r="F4" s="3">
        <v>15.0</v>
      </c>
      <c r="G4" s="9">
        <v>30.0</v>
      </c>
      <c r="H4" s="10">
        <v>2000.0</v>
      </c>
      <c r="I4" s="11">
        <f t="shared" si="1"/>
        <v>0.08605851979</v>
      </c>
      <c r="J4" s="13" t="str">
        <f t="shared" si="2"/>
        <v>High</v>
      </c>
    </row>
    <row r="5">
      <c r="A5" s="3" t="s">
        <v>54</v>
      </c>
      <c r="B5" s="3" t="s">
        <v>56</v>
      </c>
      <c r="C5" s="3" t="s">
        <v>57</v>
      </c>
      <c r="D5" s="3" t="s">
        <v>58</v>
      </c>
      <c r="E5" s="3" t="s">
        <v>22</v>
      </c>
      <c r="F5" s="3">
        <v>7.0</v>
      </c>
      <c r="G5" s="9">
        <v>180.0</v>
      </c>
      <c r="H5" s="10">
        <v>1620.0</v>
      </c>
      <c r="I5" s="11">
        <f t="shared" si="1"/>
        <v>0.06970740103</v>
      </c>
      <c r="J5" s="13" t="str">
        <f t="shared" si="2"/>
        <v>High</v>
      </c>
    </row>
    <row r="6">
      <c r="A6" s="3" t="s">
        <v>63</v>
      </c>
      <c r="B6" s="3" t="s">
        <v>18</v>
      </c>
      <c r="C6" s="3" t="s">
        <v>19</v>
      </c>
      <c r="D6" s="3" t="s">
        <v>64</v>
      </c>
      <c r="E6" s="3" t="s">
        <v>65</v>
      </c>
      <c r="F6" s="3">
        <v>3.0</v>
      </c>
      <c r="G6" s="9">
        <v>220.0</v>
      </c>
      <c r="H6" s="10">
        <v>1620.0</v>
      </c>
      <c r="I6" s="11">
        <f t="shared" si="1"/>
        <v>0.06970740103</v>
      </c>
      <c r="J6" s="13" t="str">
        <f t="shared" si="2"/>
        <v>High</v>
      </c>
    </row>
    <row r="7">
      <c r="A7" s="3" t="s">
        <v>66</v>
      </c>
      <c r="B7" s="3" t="s">
        <v>38</v>
      </c>
      <c r="C7" s="3" t="s">
        <v>49</v>
      </c>
      <c r="D7" s="3" t="s">
        <v>20</v>
      </c>
      <c r="E7" s="3" t="s">
        <v>22</v>
      </c>
      <c r="F7" s="3">
        <v>2.0</v>
      </c>
      <c r="G7" s="9">
        <v>500.0</v>
      </c>
      <c r="H7" s="10">
        <v>1500.0</v>
      </c>
      <c r="I7" s="11">
        <f t="shared" si="1"/>
        <v>0.06454388985</v>
      </c>
      <c r="J7" s="13" t="str">
        <f t="shared" si="2"/>
        <v>High</v>
      </c>
    </row>
    <row r="8">
      <c r="A8" s="3" t="s">
        <v>67</v>
      </c>
      <c r="B8" s="3" t="s">
        <v>47</v>
      </c>
      <c r="C8" s="3" t="s">
        <v>39</v>
      </c>
      <c r="D8" s="3" t="s">
        <v>68</v>
      </c>
      <c r="E8" s="3" t="s">
        <v>69</v>
      </c>
      <c r="F8" s="3">
        <v>6.0</v>
      </c>
      <c r="G8" s="9">
        <v>90.0</v>
      </c>
      <c r="H8" s="10">
        <v>1260.0</v>
      </c>
      <c r="I8" s="11">
        <f t="shared" si="1"/>
        <v>0.05421686747</v>
      </c>
      <c r="J8" s="13" t="str">
        <f t="shared" si="2"/>
        <v>High</v>
      </c>
    </row>
    <row r="9">
      <c r="A9" s="3" t="s">
        <v>70</v>
      </c>
      <c r="B9" s="3" t="s">
        <v>56</v>
      </c>
      <c r="C9" s="3" t="s">
        <v>57</v>
      </c>
      <c r="D9" s="3" t="s">
        <v>71</v>
      </c>
      <c r="E9" s="3" t="s">
        <v>69</v>
      </c>
      <c r="F9" s="3">
        <v>2.0</v>
      </c>
      <c r="G9" s="9">
        <v>200.0</v>
      </c>
      <c r="H9" s="10">
        <v>1000.0</v>
      </c>
      <c r="I9" s="11">
        <f t="shared" si="1"/>
        <v>0.0430292599</v>
      </c>
      <c r="J9" s="13" t="str">
        <f t="shared" si="2"/>
        <v>High</v>
      </c>
    </row>
    <row r="10">
      <c r="A10" s="3" t="s">
        <v>72</v>
      </c>
      <c r="B10" s="3" t="s">
        <v>18</v>
      </c>
      <c r="C10" s="3" t="s">
        <v>49</v>
      </c>
      <c r="D10" s="3" t="s">
        <v>40</v>
      </c>
      <c r="E10" s="3" t="s">
        <v>41</v>
      </c>
      <c r="F10" s="3">
        <v>25.0</v>
      </c>
      <c r="G10" s="9">
        <v>20.0</v>
      </c>
      <c r="H10" s="10">
        <v>900.0</v>
      </c>
      <c r="I10" s="11">
        <f t="shared" si="1"/>
        <v>0.03872633391</v>
      </c>
      <c r="J10" s="13" t="str">
        <f t="shared" si="2"/>
        <v>Low</v>
      </c>
    </row>
    <row r="11">
      <c r="A11" s="3" t="s">
        <v>73</v>
      </c>
      <c r="B11" s="3" t="s">
        <v>38</v>
      </c>
      <c r="C11" s="3" t="s">
        <v>19</v>
      </c>
      <c r="D11" s="3" t="s">
        <v>58</v>
      </c>
      <c r="E11" s="3" t="s">
        <v>22</v>
      </c>
      <c r="F11" s="3">
        <v>4.0</v>
      </c>
      <c r="G11" s="9">
        <v>180.0</v>
      </c>
      <c r="H11" s="10">
        <v>880.0</v>
      </c>
      <c r="I11" s="11">
        <f t="shared" si="1"/>
        <v>0.03786574871</v>
      </c>
      <c r="J11" s="13" t="str">
        <f t="shared" si="2"/>
        <v>Low</v>
      </c>
    </row>
    <row r="12">
      <c r="A12" s="3" t="s">
        <v>74</v>
      </c>
      <c r="B12" s="3" t="s">
        <v>47</v>
      </c>
      <c r="C12" s="3" t="s">
        <v>57</v>
      </c>
      <c r="D12" s="3" t="s">
        <v>20</v>
      </c>
      <c r="E12" s="3" t="s">
        <v>22</v>
      </c>
      <c r="F12" s="3">
        <v>3.0</v>
      </c>
      <c r="G12" s="9">
        <v>500.0</v>
      </c>
      <c r="H12" s="10">
        <v>720.0</v>
      </c>
      <c r="I12" s="11">
        <f t="shared" si="1"/>
        <v>0.03098106713</v>
      </c>
      <c r="J12" s="13" t="str">
        <f t="shared" si="2"/>
        <v>Low</v>
      </c>
    </row>
    <row r="13">
      <c r="A13" s="3" t="s">
        <v>75</v>
      </c>
      <c r="B13" s="3" t="s">
        <v>56</v>
      </c>
      <c r="C13" s="3" t="s">
        <v>39</v>
      </c>
      <c r="D13" s="3" t="s">
        <v>64</v>
      </c>
      <c r="E13" s="3" t="s">
        <v>65</v>
      </c>
      <c r="F13" s="3">
        <v>4.0</v>
      </c>
      <c r="G13" s="9">
        <v>220.0</v>
      </c>
      <c r="H13" s="10">
        <v>720.0</v>
      </c>
      <c r="I13" s="11">
        <f t="shared" si="1"/>
        <v>0.03098106713</v>
      </c>
      <c r="J13" s="13" t="str">
        <f t="shared" si="2"/>
        <v>Low</v>
      </c>
    </row>
    <row r="14">
      <c r="A14" s="3" t="s">
        <v>76</v>
      </c>
      <c r="B14" s="3" t="s">
        <v>18</v>
      </c>
      <c r="C14" s="3" t="s">
        <v>19</v>
      </c>
      <c r="D14" s="3" t="s">
        <v>50</v>
      </c>
      <c r="E14" s="3" t="s">
        <v>41</v>
      </c>
      <c r="F14" s="3">
        <v>10.0</v>
      </c>
      <c r="G14" s="9">
        <v>30.0</v>
      </c>
      <c r="H14" s="10">
        <v>660.0</v>
      </c>
      <c r="I14" s="11">
        <f t="shared" si="1"/>
        <v>0.02839931153</v>
      </c>
      <c r="J14" s="13" t="str">
        <f t="shared" si="2"/>
        <v>Low</v>
      </c>
    </row>
    <row r="15">
      <c r="A15" s="3" t="s">
        <v>77</v>
      </c>
      <c r="B15" s="3" t="s">
        <v>38</v>
      </c>
      <c r="C15" s="3" t="s">
        <v>57</v>
      </c>
      <c r="D15" s="3" t="s">
        <v>71</v>
      </c>
      <c r="E15" s="3" t="s">
        <v>69</v>
      </c>
      <c r="F15" s="3">
        <v>1.0</v>
      </c>
      <c r="G15" s="9">
        <v>200.0</v>
      </c>
      <c r="H15" s="10">
        <v>540.0</v>
      </c>
      <c r="I15" s="11">
        <f t="shared" si="1"/>
        <v>0.02323580034</v>
      </c>
      <c r="J15" s="13" t="str">
        <f t="shared" si="2"/>
        <v>Low</v>
      </c>
    </row>
    <row r="16">
      <c r="A16" s="3" t="s">
        <v>78</v>
      </c>
      <c r="B16" s="3" t="s">
        <v>47</v>
      </c>
      <c r="C16" s="3" t="s">
        <v>49</v>
      </c>
      <c r="D16" s="3" t="s">
        <v>68</v>
      </c>
      <c r="E16" s="3" t="s">
        <v>69</v>
      </c>
      <c r="F16" s="3">
        <v>8.0</v>
      </c>
      <c r="G16" s="9">
        <v>90.0</v>
      </c>
      <c r="H16" s="10">
        <v>500.0</v>
      </c>
      <c r="I16" s="11">
        <f t="shared" si="1"/>
        <v>0.02151462995</v>
      </c>
      <c r="J16" s="13" t="str">
        <f t="shared" si="2"/>
        <v>Low</v>
      </c>
    </row>
    <row r="17">
      <c r="A17" s="3" t="s">
        <v>79</v>
      </c>
      <c r="B17" s="3" t="s">
        <v>56</v>
      </c>
      <c r="C17" s="3" t="s">
        <v>19</v>
      </c>
      <c r="D17" s="3" t="s">
        <v>20</v>
      </c>
      <c r="E17" s="3" t="s">
        <v>22</v>
      </c>
      <c r="F17" s="3">
        <v>6.0</v>
      </c>
      <c r="G17" s="9">
        <v>500.0</v>
      </c>
      <c r="H17" s="10">
        <v>450.0</v>
      </c>
      <c r="I17" s="11">
        <f t="shared" si="1"/>
        <v>0.01936316695</v>
      </c>
      <c r="J17" s="13" t="str">
        <f t="shared" si="2"/>
        <v>Low</v>
      </c>
    </row>
    <row r="18">
      <c r="A18" s="3" t="s">
        <v>80</v>
      </c>
      <c r="B18" s="3" t="s">
        <v>18</v>
      </c>
      <c r="C18" s="3" t="s">
        <v>39</v>
      </c>
      <c r="D18" s="3" t="s">
        <v>58</v>
      </c>
      <c r="E18" s="3" t="s">
        <v>22</v>
      </c>
      <c r="F18" s="3">
        <v>5.0</v>
      </c>
      <c r="G18" s="9">
        <v>180.0</v>
      </c>
      <c r="H18" s="10">
        <v>450.0</v>
      </c>
      <c r="I18" s="11">
        <f t="shared" si="1"/>
        <v>0.01936316695</v>
      </c>
      <c r="J18" s="13" t="str">
        <f t="shared" si="2"/>
        <v>Low</v>
      </c>
    </row>
    <row r="19">
      <c r="A19" s="3" t="s">
        <v>81</v>
      </c>
      <c r="B19" s="3" t="s">
        <v>38</v>
      </c>
      <c r="C19" s="3" t="s">
        <v>49</v>
      </c>
      <c r="D19" s="3" t="s">
        <v>64</v>
      </c>
      <c r="E19" s="3" t="s">
        <v>65</v>
      </c>
      <c r="F19" s="3">
        <v>2.0</v>
      </c>
      <c r="G19" s="9">
        <v>220.0</v>
      </c>
      <c r="H19" s="10">
        <v>440.0</v>
      </c>
      <c r="I19" s="11">
        <f t="shared" si="1"/>
        <v>0.01893287435</v>
      </c>
      <c r="J19" s="13" t="str">
        <f t="shared" si="2"/>
        <v>Low</v>
      </c>
    </row>
    <row r="20">
      <c r="A20" s="3" t="s">
        <v>82</v>
      </c>
      <c r="B20" s="3" t="s">
        <v>47</v>
      </c>
      <c r="C20" s="3" t="s">
        <v>57</v>
      </c>
      <c r="D20" s="3" t="s">
        <v>40</v>
      </c>
      <c r="E20" s="3" t="s">
        <v>41</v>
      </c>
      <c r="F20" s="3">
        <v>18.0</v>
      </c>
      <c r="G20" s="9">
        <v>20.0</v>
      </c>
      <c r="H20" s="10">
        <v>420.0</v>
      </c>
      <c r="I20" s="11">
        <f t="shared" si="1"/>
        <v>0.01807228916</v>
      </c>
      <c r="J20" s="13" t="str">
        <f t="shared" si="2"/>
        <v>Low</v>
      </c>
    </row>
    <row r="21" ht="15.75" customHeight="1">
      <c r="A21" s="3" t="s">
        <v>83</v>
      </c>
      <c r="B21" s="3" t="s">
        <v>56</v>
      </c>
      <c r="C21" s="3" t="s">
        <v>39</v>
      </c>
      <c r="D21" s="3" t="s">
        <v>50</v>
      </c>
      <c r="E21" s="3" t="s">
        <v>41</v>
      </c>
      <c r="F21" s="3">
        <v>14.0</v>
      </c>
      <c r="G21" s="9">
        <v>30.0</v>
      </c>
      <c r="H21" s="10">
        <v>400.0</v>
      </c>
      <c r="I21" s="11">
        <f t="shared" si="1"/>
        <v>0.01721170396</v>
      </c>
      <c r="J21" s="13" t="str">
        <f t="shared" si="2"/>
        <v>Low</v>
      </c>
    </row>
    <row r="22" ht="15.75" customHeight="1">
      <c r="A22" s="3" t="s">
        <v>84</v>
      </c>
      <c r="B22" s="3" t="s">
        <v>18</v>
      </c>
      <c r="C22" s="3" t="s">
        <v>19</v>
      </c>
      <c r="D22" s="3" t="s">
        <v>71</v>
      </c>
      <c r="E22" s="3" t="s">
        <v>69</v>
      </c>
      <c r="F22" s="3">
        <v>2.0</v>
      </c>
      <c r="G22" s="9">
        <v>200.0</v>
      </c>
      <c r="H22" s="10">
        <v>400.0</v>
      </c>
      <c r="I22" s="11">
        <f t="shared" si="1"/>
        <v>0.01721170396</v>
      </c>
      <c r="J22" s="13" t="str">
        <f t="shared" si="2"/>
        <v>Low</v>
      </c>
    </row>
    <row r="23" ht="15.75" customHeight="1">
      <c r="A23" s="3" t="s">
        <v>85</v>
      </c>
      <c r="B23" s="3" t="s">
        <v>38</v>
      </c>
      <c r="C23" s="3" t="s">
        <v>49</v>
      </c>
      <c r="D23" s="3" t="s">
        <v>68</v>
      </c>
      <c r="E23" s="3" t="s">
        <v>69</v>
      </c>
      <c r="F23" s="3">
        <v>5.0</v>
      </c>
      <c r="G23" s="9">
        <v>90.0</v>
      </c>
      <c r="H23" s="10">
        <v>400.0</v>
      </c>
      <c r="I23" s="11">
        <f t="shared" si="1"/>
        <v>0.01721170396</v>
      </c>
      <c r="J23" s="13" t="str">
        <f t="shared" si="2"/>
        <v>Low</v>
      </c>
    </row>
    <row r="24" ht="15.75" customHeight="1">
      <c r="A24" s="3" t="s">
        <v>86</v>
      </c>
      <c r="B24" s="3" t="s">
        <v>47</v>
      </c>
      <c r="C24" s="3" t="s">
        <v>39</v>
      </c>
      <c r="D24" s="3" t="s">
        <v>20</v>
      </c>
      <c r="E24" s="3" t="s">
        <v>22</v>
      </c>
      <c r="F24" s="3">
        <v>4.0</v>
      </c>
      <c r="G24" s="9">
        <v>500.0</v>
      </c>
      <c r="H24" s="10">
        <v>360.0</v>
      </c>
      <c r="I24" s="11">
        <f t="shared" si="1"/>
        <v>0.01549053356</v>
      </c>
      <c r="J24" s="13" t="str">
        <f t="shared" si="2"/>
        <v>Low</v>
      </c>
    </row>
    <row r="25" ht="15.75" customHeight="1">
      <c r="A25" s="14" t="s">
        <v>87</v>
      </c>
      <c r="B25" s="14" t="s">
        <v>56</v>
      </c>
      <c r="C25" s="14" t="s">
        <v>57</v>
      </c>
      <c r="D25" s="14" t="s">
        <v>58</v>
      </c>
      <c r="E25" s="3" t="s">
        <v>22</v>
      </c>
      <c r="F25" s="3">
        <v>9.0</v>
      </c>
      <c r="G25" s="9">
        <v>180.0</v>
      </c>
      <c r="H25" s="10">
        <v>300.0</v>
      </c>
      <c r="I25" s="11">
        <f t="shared" si="1"/>
        <v>0.01290877797</v>
      </c>
      <c r="J25" s="13" t="str">
        <f t="shared" si="2"/>
        <v>Low</v>
      </c>
    </row>
    <row r="26" ht="15.75" customHeight="1">
      <c r="A26" s="14" t="s">
        <v>87</v>
      </c>
      <c r="B26" s="14" t="s">
        <v>56</v>
      </c>
      <c r="C26" s="14" t="s">
        <v>57</v>
      </c>
      <c r="D26" s="14" t="s">
        <v>58</v>
      </c>
      <c r="E26" s="3" t="s">
        <v>22</v>
      </c>
      <c r="F26" s="3">
        <v>9.0</v>
      </c>
      <c r="G26" s="9">
        <v>180.0</v>
      </c>
      <c r="H26" s="10">
        <v>200.0</v>
      </c>
      <c r="I26" s="11">
        <f t="shared" si="1"/>
        <v>0.008605851979</v>
      </c>
      <c r="J26" s="13" t="str">
        <f t="shared" si="2"/>
        <v>Low</v>
      </c>
    </row>
    <row r="27" ht="15.75" customHeight="1">
      <c r="A27" s="8">
        <f>COUNTA(A2:A26)</f>
        <v>25</v>
      </c>
      <c r="H27" s="15">
        <f>SUM(H2:H26)</f>
        <v>23240</v>
      </c>
      <c r="I27" s="4" t="s">
        <v>88</v>
      </c>
    </row>
    <row r="28" ht="15.75" customHeight="1">
      <c r="C28" s="8">
        <f>COUNTIF(C2:C26,"North")</f>
        <v>6</v>
      </c>
      <c r="H28" s="15">
        <f>AVERAGE(H2:H26)</f>
        <v>929.6</v>
      </c>
      <c r="I28" s="4" t="s">
        <v>89</v>
      </c>
    </row>
    <row r="29" ht="15.75" customHeight="1">
      <c r="H29" s="8">
        <f>COUNT(H2:H26)</f>
        <v>25</v>
      </c>
      <c r="I29" s="4" t="s">
        <v>90</v>
      </c>
    </row>
    <row r="30" ht="15.75" customHeight="1">
      <c r="H30" s="8">
        <f>SUMIF(E2:E26,"Electronics",H2:H26)</f>
        <v>9480</v>
      </c>
      <c r="I30" s="4" t="s">
        <v>91</v>
      </c>
    </row>
    <row r="31" ht="15.75" customHeight="1">
      <c r="H31" s="8">
        <f>AVERAGEIF(B2:B26,"Asha",F2:F26)</f>
        <v>8.333333333</v>
      </c>
      <c r="I31" s="4" t="s">
        <v>92</v>
      </c>
    </row>
    <row r="32" ht="15.75" customHeight="1">
      <c r="H32" s="10">
        <f>MAX(H2:H26)</f>
        <v>3000</v>
      </c>
      <c r="I32" s="4" t="s">
        <v>93</v>
      </c>
    </row>
    <row r="33" ht="15.75" customHeight="1">
      <c r="H33" s="10">
        <f>MIN(H2:H26)</f>
        <v>200</v>
      </c>
      <c r="I33" s="4" t="s">
        <v>94</v>
      </c>
    </row>
    <row r="34" ht="15.75" customHeight="1">
      <c r="A34" s="16" t="s">
        <v>95</v>
      </c>
      <c r="E34" s="16" t="s">
        <v>96</v>
      </c>
    </row>
    <row r="35" ht="15.75" customHeight="1">
      <c r="A35" s="17" t="s">
        <v>10</v>
      </c>
      <c r="B35" s="17" t="s">
        <v>11</v>
      </c>
      <c r="E35" s="3" t="str">
        <f t="array" ref="E35:L59">SORT(A2:H26,6,FALSE)</f>
        <v>O1009</v>
      </c>
      <c r="F35" s="3" t="s">
        <v>18</v>
      </c>
      <c r="G35" s="3" t="s">
        <v>49</v>
      </c>
      <c r="H35" s="3" t="s">
        <v>40</v>
      </c>
      <c r="I35" s="3" t="s">
        <v>41</v>
      </c>
      <c r="J35" s="3">
        <v>25.0</v>
      </c>
      <c r="K35" s="9">
        <v>20.0</v>
      </c>
      <c r="L35" s="10">
        <v>900.0</v>
      </c>
    </row>
    <row r="36" ht="15.75" customHeight="1">
      <c r="A36" s="4" t="s">
        <v>20</v>
      </c>
      <c r="B36" s="4" t="s">
        <v>22</v>
      </c>
      <c r="E36" s="3" t="s">
        <v>37</v>
      </c>
      <c r="F36" s="3" t="s">
        <v>38</v>
      </c>
      <c r="G36" s="3" t="s">
        <v>39</v>
      </c>
      <c r="H36" s="3" t="s">
        <v>40</v>
      </c>
      <c r="I36" s="3" t="s">
        <v>41</v>
      </c>
      <c r="J36" s="3">
        <v>20.0</v>
      </c>
      <c r="K36" s="9">
        <v>20.0</v>
      </c>
      <c r="L36" s="10">
        <v>2500.0</v>
      </c>
    </row>
    <row r="37" ht="15.75" customHeight="1">
      <c r="A37" s="4" t="s">
        <v>40</v>
      </c>
      <c r="B37" s="4" t="s">
        <v>41</v>
      </c>
      <c r="E37" s="3" t="s">
        <v>82</v>
      </c>
      <c r="F37" s="3" t="s">
        <v>47</v>
      </c>
      <c r="G37" s="3" t="s">
        <v>57</v>
      </c>
      <c r="H37" s="3" t="s">
        <v>40</v>
      </c>
      <c r="I37" s="3" t="s">
        <v>41</v>
      </c>
      <c r="J37" s="3">
        <v>18.0</v>
      </c>
      <c r="K37" s="9">
        <v>20.0</v>
      </c>
      <c r="L37" s="10">
        <v>420.0</v>
      </c>
    </row>
    <row r="38" ht="15.75" customHeight="1">
      <c r="A38" s="4" t="s">
        <v>50</v>
      </c>
      <c r="B38" s="4" t="s">
        <v>41</v>
      </c>
      <c r="E38" s="3" t="s">
        <v>46</v>
      </c>
      <c r="F38" s="3" t="s">
        <v>47</v>
      </c>
      <c r="G38" s="3" t="s">
        <v>49</v>
      </c>
      <c r="H38" s="3" t="s">
        <v>50</v>
      </c>
      <c r="I38" s="3" t="s">
        <v>41</v>
      </c>
      <c r="J38" s="3">
        <v>15.0</v>
      </c>
      <c r="K38" s="9">
        <v>30.0</v>
      </c>
      <c r="L38" s="10">
        <v>2000.0</v>
      </c>
    </row>
    <row r="39" ht="15.75" customHeight="1">
      <c r="A39" s="4" t="s">
        <v>58</v>
      </c>
      <c r="B39" s="4" t="s">
        <v>22</v>
      </c>
      <c r="E39" s="3" t="s">
        <v>83</v>
      </c>
      <c r="F39" s="3" t="s">
        <v>56</v>
      </c>
      <c r="G39" s="3" t="s">
        <v>39</v>
      </c>
      <c r="H39" s="3" t="s">
        <v>50</v>
      </c>
      <c r="I39" s="3" t="s">
        <v>41</v>
      </c>
      <c r="J39" s="3">
        <v>14.0</v>
      </c>
      <c r="K39" s="9">
        <v>30.0</v>
      </c>
      <c r="L39" s="10">
        <v>400.0</v>
      </c>
    </row>
    <row r="40" ht="15.75" customHeight="1">
      <c r="A40" s="4" t="s">
        <v>64</v>
      </c>
      <c r="B40" s="4" t="s">
        <v>65</v>
      </c>
      <c r="E40" s="3" t="s">
        <v>76</v>
      </c>
      <c r="F40" s="3" t="s">
        <v>18</v>
      </c>
      <c r="G40" s="3" t="s">
        <v>19</v>
      </c>
      <c r="H40" s="3" t="s">
        <v>50</v>
      </c>
      <c r="I40" s="3" t="s">
        <v>41</v>
      </c>
      <c r="J40" s="3">
        <v>10.0</v>
      </c>
      <c r="K40" s="9">
        <v>30.0</v>
      </c>
      <c r="L40" s="10">
        <v>660.0</v>
      </c>
    </row>
    <row r="41" ht="15.75" customHeight="1">
      <c r="A41" s="4" t="s">
        <v>68</v>
      </c>
      <c r="B41" s="4" t="s">
        <v>69</v>
      </c>
      <c r="E41" s="3" t="s">
        <v>87</v>
      </c>
      <c r="F41" s="3" t="s">
        <v>56</v>
      </c>
      <c r="G41" s="3" t="s">
        <v>57</v>
      </c>
      <c r="H41" s="3" t="s">
        <v>58</v>
      </c>
      <c r="I41" s="3" t="s">
        <v>22</v>
      </c>
      <c r="J41" s="3">
        <v>9.0</v>
      </c>
      <c r="K41" s="9">
        <v>180.0</v>
      </c>
      <c r="L41" s="10">
        <v>300.0</v>
      </c>
    </row>
    <row r="42" ht="15.75" customHeight="1">
      <c r="A42" s="4" t="s">
        <v>71</v>
      </c>
      <c r="B42" s="4" t="s">
        <v>69</v>
      </c>
      <c r="E42" s="3" t="s">
        <v>87</v>
      </c>
      <c r="F42" s="3" t="s">
        <v>56</v>
      </c>
      <c r="G42" s="3" t="s">
        <v>57</v>
      </c>
      <c r="H42" s="3" t="s">
        <v>58</v>
      </c>
      <c r="I42" s="3" t="s">
        <v>22</v>
      </c>
      <c r="J42" s="3">
        <v>9.0</v>
      </c>
      <c r="K42" s="9">
        <v>180.0</v>
      </c>
      <c r="L42" s="10">
        <v>200.0</v>
      </c>
    </row>
    <row r="43" ht="15.75" customHeight="1">
      <c r="E43" s="3" t="s">
        <v>78</v>
      </c>
      <c r="F43" s="3" t="s">
        <v>47</v>
      </c>
      <c r="G43" s="3" t="s">
        <v>49</v>
      </c>
      <c r="H43" s="3" t="s">
        <v>68</v>
      </c>
      <c r="I43" s="3" t="s">
        <v>69</v>
      </c>
      <c r="J43" s="3">
        <v>8.0</v>
      </c>
      <c r="K43" s="9">
        <v>90.0</v>
      </c>
      <c r="L43" s="10">
        <v>500.0</v>
      </c>
    </row>
    <row r="44" ht="15.75" customHeight="1">
      <c r="E44" s="3" t="s">
        <v>54</v>
      </c>
      <c r="F44" s="3" t="s">
        <v>56</v>
      </c>
      <c r="G44" s="3" t="s">
        <v>57</v>
      </c>
      <c r="H44" s="3" t="s">
        <v>58</v>
      </c>
      <c r="I44" s="3" t="s">
        <v>22</v>
      </c>
      <c r="J44" s="3">
        <v>7.0</v>
      </c>
      <c r="K44" s="9">
        <v>180.0</v>
      </c>
      <c r="L44" s="10">
        <v>1620.0</v>
      </c>
    </row>
    <row r="45" ht="15.75" customHeight="1">
      <c r="A45" s="16" t="s">
        <v>97</v>
      </c>
      <c r="E45" s="3" t="s">
        <v>67</v>
      </c>
      <c r="F45" s="3" t="s">
        <v>47</v>
      </c>
      <c r="G45" s="3" t="s">
        <v>39</v>
      </c>
      <c r="H45" s="3" t="s">
        <v>68</v>
      </c>
      <c r="I45" s="3" t="s">
        <v>69</v>
      </c>
      <c r="J45" s="3">
        <v>6.0</v>
      </c>
      <c r="K45" s="9">
        <v>90.0</v>
      </c>
      <c r="L45" s="10">
        <v>1260.0</v>
      </c>
    </row>
    <row r="46" ht="15.75" customHeight="1">
      <c r="A46" s="18" t="s">
        <v>9</v>
      </c>
      <c r="B46" s="19" t="s">
        <v>98</v>
      </c>
      <c r="E46" s="3" t="s">
        <v>79</v>
      </c>
      <c r="F46" s="3" t="s">
        <v>56</v>
      </c>
      <c r="G46" s="3" t="s">
        <v>19</v>
      </c>
      <c r="H46" s="3" t="s">
        <v>20</v>
      </c>
      <c r="I46" s="3" t="s">
        <v>22</v>
      </c>
      <c r="J46" s="3">
        <v>6.0</v>
      </c>
      <c r="K46" s="9">
        <v>500.0</v>
      </c>
      <c r="L46" s="10">
        <v>450.0</v>
      </c>
    </row>
    <row r="47" ht="15.75" customHeight="1">
      <c r="A47" s="4" t="s">
        <v>19</v>
      </c>
      <c r="B47" s="20">
        <v>8500.0</v>
      </c>
      <c r="E47" s="3" t="s">
        <v>17</v>
      </c>
      <c r="F47" s="3" t="s">
        <v>18</v>
      </c>
      <c r="G47" s="3" t="s">
        <v>19</v>
      </c>
      <c r="H47" s="3" t="s">
        <v>20</v>
      </c>
      <c r="I47" s="3" t="s">
        <v>22</v>
      </c>
      <c r="J47" s="3">
        <v>5.0</v>
      </c>
      <c r="K47" s="9">
        <v>500.0</v>
      </c>
      <c r="L47" s="10">
        <v>3000.0</v>
      </c>
    </row>
    <row r="48" ht="15.75" customHeight="1">
      <c r="A48" s="4" t="s">
        <v>39</v>
      </c>
      <c r="B48" s="20">
        <v>4260.0</v>
      </c>
      <c r="E48" s="3" t="s">
        <v>80</v>
      </c>
      <c r="F48" s="3" t="s">
        <v>18</v>
      </c>
      <c r="G48" s="3" t="s">
        <v>39</v>
      </c>
      <c r="H48" s="3" t="s">
        <v>58</v>
      </c>
      <c r="I48" s="3" t="s">
        <v>22</v>
      </c>
      <c r="J48" s="3">
        <v>5.0</v>
      </c>
      <c r="K48" s="9">
        <v>180.0</v>
      </c>
      <c r="L48" s="10">
        <v>450.0</v>
      </c>
    </row>
    <row r="49" ht="15.75" customHeight="1">
      <c r="A49" s="4" t="s">
        <v>57</v>
      </c>
      <c r="B49" s="20">
        <v>5150.0</v>
      </c>
      <c r="E49" s="3" t="s">
        <v>85</v>
      </c>
      <c r="F49" s="3" t="s">
        <v>38</v>
      </c>
      <c r="G49" s="3" t="s">
        <v>49</v>
      </c>
      <c r="H49" s="3" t="s">
        <v>68</v>
      </c>
      <c r="I49" s="3" t="s">
        <v>69</v>
      </c>
      <c r="J49" s="3">
        <v>5.0</v>
      </c>
      <c r="K49" s="9">
        <v>90.0</v>
      </c>
      <c r="L49" s="10">
        <v>400.0</v>
      </c>
    </row>
    <row r="50" ht="15.75" customHeight="1">
      <c r="A50" s="4" t="s">
        <v>49</v>
      </c>
      <c r="B50" s="20">
        <v>4890.0</v>
      </c>
      <c r="E50" s="3" t="s">
        <v>73</v>
      </c>
      <c r="F50" s="3" t="s">
        <v>38</v>
      </c>
      <c r="G50" s="3" t="s">
        <v>19</v>
      </c>
      <c r="H50" s="3" t="s">
        <v>58</v>
      </c>
      <c r="I50" s="3" t="s">
        <v>22</v>
      </c>
      <c r="J50" s="3">
        <v>4.0</v>
      </c>
      <c r="K50" s="9">
        <v>180.0</v>
      </c>
      <c r="L50" s="10">
        <v>880.0</v>
      </c>
    </row>
    <row r="51" ht="15.75" customHeight="1">
      <c r="A51" s="4" t="s">
        <v>99</v>
      </c>
      <c r="B51" s="20">
        <v>22800.0</v>
      </c>
      <c r="E51" s="3" t="s">
        <v>75</v>
      </c>
      <c r="F51" s="3" t="s">
        <v>56</v>
      </c>
      <c r="G51" s="3" t="s">
        <v>39</v>
      </c>
      <c r="H51" s="3" t="s">
        <v>64</v>
      </c>
      <c r="I51" s="3" t="s">
        <v>65</v>
      </c>
      <c r="J51" s="3">
        <v>4.0</v>
      </c>
      <c r="K51" s="9">
        <v>220.0</v>
      </c>
      <c r="L51" s="10">
        <v>720.0</v>
      </c>
    </row>
    <row r="52" ht="15.75" customHeight="1">
      <c r="E52" s="3" t="s">
        <v>86</v>
      </c>
      <c r="F52" s="3" t="s">
        <v>47</v>
      </c>
      <c r="G52" s="3" t="s">
        <v>39</v>
      </c>
      <c r="H52" s="3" t="s">
        <v>20</v>
      </c>
      <c r="I52" s="3" t="s">
        <v>22</v>
      </c>
      <c r="J52" s="3">
        <v>4.0</v>
      </c>
      <c r="K52" s="9">
        <v>500.0</v>
      </c>
      <c r="L52" s="10">
        <v>360.0</v>
      </c>
    </row>
    <row r="53" ht="15.75" customHeight="1">
      <c r="E53" s="3" t="s">
        <v>63</v>
      </c>
      <c r="F53" s="3" t="s">
        <v>18</v>
      </c>
      <c r="G53" s="3" t="s">
        <v>19</v>
      </c>
      <c r="H53" s="3" t="s">
        <v>64</v>
      </c>
      <c r="I53" s="3" t="s">
        <v>65</v>
      </c>
      <c r="J53" s="3">
        <v>3.0</v>
      </c>
      <c r="K53" s="9">
        <v>220.0</v>
      </c>
      <c r="L53" s="10">
        <v>1620.0</v>
      </c>
    </row>
    <row r="54" ht="15.75" customHeight="1">
      <c r="E54" s="3" t="s">
        <v>74</v>
      </c>
      <c r="F54" s="3" t="s">
        <v>47</v>
      </c>
      <c r="G54" s="3" t="s">
        <v>57</v>
      </c>
      <c r="H54" s="3" t="s">
        <v>20</v>
      </c>
      <c r="I54" s="3" t="s">
        <v>22</v>
      </c>
      <c r="J54" s="3">
        <v>3.0</v>
      </c>
      <c r="K54" s="9">
        <v>500.0</v>
      </c>
      <c r="L54" s="10">
        <v>720.0</v>
      </c>
    </row>
    <row r="55" ht="15.75" customHeight="1">
      <c r="E55" s="3" t="s">
        <v>66</v>
      </c>
      <c r="F55" s="3" t="s">
        <v>38</v>
      </c>
      <c r="G55" s="3" t="s">
        <v>49</v>
      </c>
      <c r="H55" s="3" t="s">
        <v>20</v>
      </c>
      <c r="I55" s="3" t="s">
        <v>22</v>
      </c>
      <c r="J55" s="3">
        <v>2.0</v>
      </c>
      <c r="K55" s="9">
        <v>500.0</v>
      </c>
      <c r="L55" s="10">
        <v>1500.0</v>
      </c>
    </row>
    <row r="56" ht="15.75" customHeight="1">
      <c r="E56" s="3" t="s">
        <v>70</v>
      </c>
      <c r="F56" s="3" t="s">
        <v>56</v>
      </c>
      <c r="G56" s="3" t="s">
        <v>57</v>
      </c>
      <c r="H56" s="3" t="s">
        <v>71</v>
      </c>
      <c r="I56" s="3" t="s">
        <v>69</v>
      </c>
      <c r="J56" s="3">
        <v>2.0</v>
      </c>
      <c r="K56" s="9">
        <v>200.0</v>
      </c>
      <c r="L56" s="10">
        <v>1000.0</v>
      </c>
    </row>
    <row r="57" ht="15.75" customHeight="1">
      <c r="E57" s="3" t="s">
        <v>81</v>
      </c>
      <c r="F57" s="3" t="s">
        <v>38</v>
      </c>
      <c r="G57" s="3" t="s">
        <v>49</v>
      </c>
      <c r="H57" s="3" t="s">
        <v>64</v>
      </c>
      <c r="I57" s="3" t="s">
        <v>65</v>
      </c>
      <c r="J57" s="3">
        <v>2.0</v>
      </c>
      <c r="K57" s="9">
        <v>220.0</v>
      </c>
      <c r="L57" s="10">
        <v>440.0</v>
      </c>
    </row>
    <row r="58" ht="15.75" customHeight="1">
      <c r="E58" s="3" t="s">
        <v>84</v>
      </c>
      <c r="F58" s="3" t="s">
        <v>18</v>
      </c>
      <c r="G58" s="3" t="s">
        <v>19</v>
      </c>
      <c r="H58" s="3" t="s">
        <v>71</v>
      </c>
      <c r="I58" s="3" t="s">
        <v>69</v>
      </c>
      <c r="J58" s="3">
        <v>2.0</v>
      </c>
      <c r="K58" s="9">
        <v>200.0</v>
      </c>
      <c r="L58" s="10">
        <v>400.0</v>
      </c>
    </row>
    <row r="59" ht="15.75" customHeight="1">
      <c r="E59" s="3" t="s">
        <v>77</v>
      </c>
      <c r="F59" s="3" t="s">
        <v>38</v>
      </c>
      <c r="G59" s="3" t="s">
        <v>57</v>
      </c>
      <c r="H59" s="3" t="s">
        <v>71</v>
      </c>
      <c r="I59" s="3" t="s">
        <v>69</v>
      </c>
      <c r="J59" s="3">
        <v>1.0</v>
      </c>
      <c r="K59" s="9">
        <v>200.0</v>
      </c>
      <c r="L59" s="10">
        <v>540.0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H$1:$H$33">
    <sortState ref="H1:H33">
      <sortCondition descending="1" ref="H1:H33"/>
    </sortState>
  </autoFilter>
  <conditionalFormatting sqref="H2:H26">
    <cfRule type="cellIs" dxfId="0" priority="1" operator="greaterThan">
      <formula>1000</formula>
    </cfRule>
  </conditionalFormatting>
  <conditionalFormatting sqref="H2:H26">
    <cfRule type="colorScale" priority="2">
      <colorScale>
        <cfvo type="min"/>
        <cfvo type="max"/>
        <color rgb="FFFFFFFF"/>
        <color rgb="FF57BB8A"/>
      </colorScale>
    </cfRule>
  </conditionalFormatting>
  <conditionalFormatting sqref="A2:A26">
    <cfRule type="expression" dxfId="1" priority="3">
      <formula>"Duplicate"</formula>
    </cfRule>
  </conditionalFormatting>
  <conditionalFormatting sqref="J2:J26">
    <cfRule type="notContainsBlanks" dxfId="2" priority="4">
      <formula>LEN(TRIM(J2))&gt;0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84.14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4</v>
      </c>
    </row>
    <row r="3">
      <c r="A3" s="3" t="s">
        <v>5</v>
      </c>
      <c r="B3" s="4" t="s">
        <v>6</v>
      </c>
    </row>
    <row r="4">
      <c r="A4" s="3" t="s">
        <v>7</v>
      </c>
      <c r="B4" s="8">
        <f> 23240</f>
        <v>23240</v>
      </c>
    </row>
    <row r="5">
      <c r="A5" s="3" t="s">
        <v>21</v>
      </c>
      <c r="B5" s="3">
        <f> 929.6</f>
        <v>929.6</v>
      </c>
    </row>
    <row r="6">
      <c r="A6" s="3" t="s">
        <v>23</v>
      </c>
      <c r="B6" s="3">
        <f t="shared" ref="B6:B7" si="1"> 25</f>
        <v>25</v>
      </c>
    </row>
    <row r="7">
      <c r="A7" s="3" t="s">
        <v>24</v>
      </c>
      <c r="B7" s="3">
        <f t="shared" si="1"/>
        <v>25</v>
      </c>
    </row>
    <row r="8">
      <c r="A8" s="3" t="s">
        <v>25</v>
      </c>
      <c r="B8" s="3">
        <f>6</f>
        <v>6</v>
      </c>
    </row>
    <row r="9">
      <c r="A9" s="3" t="s">
        <v>26</v>
      </c>
      <c r="B9" s="3">
        <f>9480</f>
        <v>9480</v>
      </c>
    </row>
    <row r="10">
      <c r="A10" s="3" t="s">
        <v>27</v>
      </c>
      <c r="B10" s="3">
        <f>8.333333333</f>
        <v>8.333333333</v>
      </c>
    </row>
    <row r="11">
      <c r="A11" s="3" t="s">
        <v>28</v>
      </c>
      <c r="B11" s="4" t="s">
        <v>29</v>
      </c>
    </row>
    <row r="12">
      <c r="A12" s="3" t="s">
        <v>30</v>
      </c>
      <c r="B12" s="4" t="s">
        <v>31</v>
      </c>
    </row>
    <row r="13">
      <c r="A13" s="3" t="s">
        <v>32</v>
      </c>
      <c r="B13" s="12" t="s">
        <v>33</v>
      </c>
    </row>
    <row r="14">
      <c r="A14" s="3" t="s">
        <v>34</v>
      </c>
      <c r="B14" s="4" t="s">
        <v>35</v>
      </c>
    </row>
    <row r="15">
      <c r="A15" s="3" t="s">
        <v>36</v>
      </c>
      <c r="B15" s="4" t="s">
        <v>42</v>
      </c>
    </row>
    <row r="16">
      <c r="A16" s="3" t="s">
        <v>43</v>
      </c>
      <c r="B16" s="4" t="s">
        <v>44</v>
      </c>
    </row>
    <row r="17">
      <c r="A17" s="3" t="s">
        <v>45</v>
      </c>
      <c r="B17" s="4" t="s">
        <v>48</v>
      </c>
    </row>
    <row r="18">
      <c r="A18" s="3" t="s">
        <v>51</v>
      </c>
      <c r="B18" s="4" t="s">
        <v>52</v>
      </c>
    </row>
    <row r="19">
      <c r="A19" s="3" t="s">
        <v>53</v>
      </c>
      <c r="B19" s="4" t="s">
        <v>55</v>
      </c>
    </row>
    <row r="20">
      <c r="A20" s="3" t="s">
        <v>59</v>
      </c>
      <c r="B20" s="4" t="s">
        <v>60</v>
      </c>
    </row>
    <row r="21" ht="15.75" customHeight="1">
      <c r="A21" s="4" t="s">
        <v>61</v>
      </c>
      <c r="B21" s="4" t="s">
        <v>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